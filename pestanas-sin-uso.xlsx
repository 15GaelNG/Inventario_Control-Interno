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 uso en el codigo" sheetId="1" state="visible" r:id="rId1"/>
    <sheet name="Por qué es delicado" sheetId="2" state="visible" r:id="rId2"/>
  </sheets>
  <definedNames>
    <definedName name="_xlnm._FilterDatabase" localSheetId="0" hidden="1">'Sin uso en el codigo'!$A$5:$I$24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3B54"/>
      <sz val="14"/>
    </font>
    <font>
      <name val="Arial"/>
      <i val="1"/>
      <color rgb="006B7780"/>
      <sz val="9"/>
    </font>
    <font>
      <name val="Arial"/>
      <b val="1"/>
      <color rgb="00B03A2E"/>
      <sz val="9"/>
    </font>
    <font>
      <name val="Arial"/>
      <b val="1"/>
      <color rgb="00FFFFFF"/>
    </font>
    <font>
      <name val="Arial"/>
      <b val="1"/>
      <sz val="10"/>
    </font>
    <font>
      <name val="Arial"/>
      <sz val="10"/>
    </font>
    <font>
      <name val="Arial"/>
      <b val="1"/>
      <color rgb="00B03A2E"/>
      <sz val="10"/>
    </font>
    <font>
      <name val="Arial"/>
      <b val="1"/>
      <color rgb="008A6D1F"/>
      <sz val="10"/>
    </font>
    <font>
      <name val="Arial"/>
      <b val="1"/>
      <color rgb="001E7B32"/>
      <sz val="10"/>
    </font>
    <font>
      <name val="Arial"/>
      <b val="1"/>
    </font>
    <font>
      <name val="Arial"/>
      <b val="1"/>
      <color rgb="001F3B54"/>
      <sz val="13"/>
    </font>
  </fonts>
  <fills count="8">
    <fill>
      <patternFill/>
    </fill>
    <fill>
      <patternFill patternType="gray125"/>
    </fill>
    <fill>
      <patternFill patternType="solid">
        <fgColor rgb="001F3B54"/>
      </patternFill>
    </fill>
    <fill>
      <patternFill patternType="solid">
        <fgColor rgb="008A6D1F"/>
      </patternFill>
    </fill>
    <fill>
      <patternFill patternType="solid">
        <fgColor rgb="00FFF9E0"/>
      </patternFill>
    </fill>
    <fill>
      <patternFill patternType="solid">
        <fgColor rgb="00FDEDEC"/>
      </patternFill>
    </fill>
    <fill>
      <patternFill patternType="solid">
        <fgColor rgb="00FFF6D6"/>
      </patternFill>
    </fill>
    <fill>
      <patternFill patternType="solid">
        <fgColor rgb="00F2F4F6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10" fillId="0" borderId="1" pivotButton="0" quotePrefix="0" xfId="0"/>
    <xf numFmtId="0" fontId="0" fillId="0" borderId="1" pivotButton="0" quotePrefix="0" xfId="0"/>
    <xf numFmtId="3" fontId="10" fillId="0" borderId="1" pivotButton="0" quotePrefix="0" xfId="0"/>
    <xf numFmtId="0" fontId="11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0" customWidth="1" min="2" max="2"/>
    <col width="11" customWidth="1" min="3" max="3"/>
    <col width="12" customWidth="1" min="4" max="4"/>
    <col width="9" customWidth="1" min="5" max="5"/>
    <col width="13" customWidth="1" min="6" max="6"/>
    <col width="14" customWidth="1" min="7" max="7"/>
    <col width="30" customWidth="1" min="8" max="8"/>
    <col width="64" customWidth="1" min="9" max="9"/>
  </cols>
  <sheetData>
    <row r="1">
      <c r="A1" s="1" t="inlineStr">
        <is>
          <t>Pestañas que nuestro código NO nombra</t>
        </is>
      </c>
    </row>
    <row r="2">
      <c r="A2" s="2" t="inlineStr">
        <is>
          <t>Medido en PRODUCCIÓN el 29/09/2026, solo lectura. De 50 pestañas, estas 19 no aparecen en ningún archivo de src/, ni siquiera en un comentario.</t>
        </is>
      </c>
    </row>
    <row r="3">
      <c r="A3" s="3" t="inlineStr">
        <is>
          <t>ESTO NO DICE "SE PUEDEN BORRAR". Dice que nuestro código no las nombra. Falta la otra mitad: qué tablas usa AppSheet. Llena la columna "¿LA USA APPSHEET?" y el veredicto se calcula solo.</t>
        </is>
      </c>
    </row>
    <row r="5" ht="32" customHeight="1">
      <c r="A5" s="4" t="inlineStr">
        <is>
          <t>PESTAÑA</t>
        </is>
      </c>
      <c r="B5" s="4" t="inlineStr">
        <is>
          <t>GRUPO</t>
        </is>
      </c>
      <c r="C5" s="4" t="inlineStr">
        <is>
          <t>FILAS CON DATOS</t>
        </is>
      </c>
      <c r="D5" s="4" t="inlineStr">
        <is>
          <t>CELDAS DEL GRID</t>
        </is>
      </c>
      <c r="E5" s="4" t="inlineStr">
        <is>
          <t>¿OCULTA?</t>
        </is>
      </c>
      <c r="F5" s="4" t="inlineStr">
        <is>
          <t>RIESGO AL BORRAR</t>
        </is>
      </c>
      <c r="G5" s="5" t="inlineStr">
        <is>
          <t>¿LA USA APPSHEET?</t>
        </is>
      </c>
      <c r="H5" s="4" t="inlineStr">
        <is>
          <t>VEREDICTO</t>
        </is>
      </c>
      <c r="I5" s="4" t="inlineStr">
        <is>
          <t>POR QUÉ / QUÉ CUIDAR</t>
        </is>
      </c>
    </row>
    <row r="6">
      <c r="A6" s="6" t="inlineStr">
        <is>
          <t>Copia de INSTALACION DE SENSORES</t>
        </is>
      </c>
      <c r="B6" s="7" t="inlineStr">
        <is>
          <t>Compite por la hoja</t>
        </is>
      </c>
      <c r="C6" s="8" t="n">
        <v>207</v>
      </c>
      <c r="D6" s="8" t="n">
        <v>39920</v>
      </c>
      <c r="E6" s="9" t="inlineStr">
        <is>
          <t>no</t>
        </is>
      </c>
      <c r="F6" s="10" t="inlineStr">
        <is>
          <t>ALTO</t>
        </is>
      </c>
      <c r="G6" s="11" t="inlineStr"/>
      <c r="H6" s="7">
        <f>IF(G6="","falta el dato de AppSheet",IF(UPPER(G6)="SI","NO BORRAR: AppSheet la usa",IF(F6="REVISAR","preguntar al equipo antes",IF(F6="ALTO","quitarla YA: hoy compite por la hoja","se puede mudar al histórico"))))</f>
        <v/>
      </c>
      <c r="I6" s="12" t="inlineStr">
        <is>
          <t>Le pelea la hoja a SensoresService por 1 fila (208 vs 207). Su nombre no aparece en el codigo, pero el servicio la puede elegir: getSheetByColumns desempata por mas filas. Quitarla vuelve la eleccion determinista. Tiene 354 formulas XLOOKUP que citan VEHICULOS.</t>
        </is>
      </c>
    </row>
    <row r="7">
      <c r="A7" s="6" t="inlineStr">
        <is>
          <t>HOLOGRAMAS (24/04/25)</t>
        </is>
      </c>
      <c r="B7" s="7" t="inlineStr">
        <is>
          <t>Compite por la hoja</t>
        </is>
      </c>
      <c r="C7" s="8" t="n">
        <v>151</v>
      </c>
      <c r="D7" s="8" t="n">
        <v>30000</v>
      </c>
      <c r="E7" s="9" t="inlineStr">
        <is>
          <t>sí</t>
        </is>
      </c>
      <c r="F7" s="10" t="inlineStr">
        <is>
          <t>ALTO</t>
        </is>
      </c>
      <c r="G7" s="11" t="inlineStr"/>
      <c r="H7" s="7">
        <f>IF(G7="","falta el dato de AppSheet",IF(UPPER(G7)="SI","NO BORRAR: AppSheet la usa",IF(F7="REVISAR","preguntar al equipo antes",IF(F7="ALTO","quitarla YA: hoy compite por la hoja","se puede mudar al histórico"))))</f>
        <v/>
      </c>
      <c r="I7" s="12" t="inlineStr">
        <is>
          <t>Compite con HOLOGRAMAS por la misma firma de columnas. Hoy pierde por 104 filas, pero compite.</t>
        </is>
      </c>
    </row>
    <row r="8">
      <c r="A8" s="13" t="inlineStr">
        <is>
          <t>Copia de LINEAS TELEFONICAS 1</t>
        </is>
      </c>
      <c r="B8" s="14" t="inlineStr">
        <is>
          <t>Amarrada por formula</t>
        </is>
      </c>
      <c r="C8" s="15" t="n">
        <v>1612</v>
      </c>
      <c r="D8" s="15" t="n">
        <v>97755</v>
      </c>
      <c r="E8" s="16" t="inlineStr">
        <is>
          <t>no</t>
        </is>
      </c>
      <c r="F8" s="17" t="inlineStr">
        <is>
          <t>MEDIO</t>
        </is>
      </c>
      <c r="G8" s="11" t="inlineStr"/>
      <c r="H8" s="14">
        <f>IF(G8="","falta el dato de AppSheet",IF(UPPER(G8)="SI","NO BORRAR: AppSheet la usa",IF(F8="REVISAR","preguntar al equipo antes",IF(F8="ALTO","quitarla YA: hoy compite por la hoja","se puede mudar al histórico"))))</f>
        <v/>
      </c>
      <c r="I8" s="18" t="inlineStr">
        <is>
          <t>Tiene 64 formulas que citan Hoja 55. Se va junto con Hoja 55 o ninguna de las dos.</t>
        </is>
      </c>
    </row>
    <row r="9">
      <c r="A9" s="13" t="inlineStr">
        <is>
          <t>Hoja 55</t>
        </is>
      </c>
      <c r="B9" s="14" t="inlineStr">
        <is>
          <t>Amarrada por formula</t>
        </is>
      </c>
      <c r="C9" s="15" t="n">
        <v>1612</v>
      </c>
      <c r="D9" s="15" t="n">
        <v>82263</v>
      </c>
      <c r="E9" s="16" t="inlineStr">
        <is>
          <t>no</t>
        </is>
      </c>
      <c r="F9" s="17" t="inlineStr">
        <is>
          <t>MEDIO</t>
        </is>
      </c>
      <c r="G9" s="11" t="inlineStr"/>
      <c r="H9" s="14">
        <f>IF(G9="","falta el dato de AppSheet",IF(UPPER(G9)="SI","NO BORRAR: AppSheet la usa",IF(F9="REVISAR","preguntar al equipo antes",IF(F9="ALTO","quitarla YA: hoy compite por la hoja","se puede mudar al histórico"))))</f>
        <v/>
      </c>
      <c r="I9" s="18" t="inlineStr">
        <is>
          <t>La citan 64 formulas de Copia de LINEAS TELEFONICAS 1. Borrarla sola las rompe (deja #REF!).</t>
        </is>
      </c>
    </row>
    <row r="10">
      <c r="A10" s="19" t="inlineStr">
        <is>
          <t>LINEAS 05/12/2025</t>
        </is>
      </c>
      <c r="B10" s="20" t="inlineStr">
        <is>
          <t>Respaldo de Lineas</t>
        </is>
      </c>
      <c r="C10" s="21" t="n">
        <v>1350</v>
      </c>
      <c r="D10" s="21" t="n">
        <v>51750</v>
      </c>
      <c r="E10" s="22" t="inlineStr">
        <is>
          <t>sí</t>
        </is>
      </c>
      <c r="F10" s="23" t="inlineStr">
        <is>
          <t>BAJO</t>
        </is>
      </c>
      <c r="G10" s="11" t="inlineStr"/>
      <c r="H10" s="20">
        <f>IF(G10="","falta el dato de AppSheet",IF(UPPER(G10)="SI","NO BORRAR: AppSheet la usa",IF(F10="REVISAR","preguntar al equipo antes",IF(F10="ALTO","quitarla YA: hoy compite por la hoja","se puede mudar al histórico"))))</f>
        <v/>
      </c>
      <c r="I10" s="24" t="inlineStr">
        <is>
          <t>Foto vieja de LINEAS TELEFONICAS, que hoy tiene 1,615 filas.</t>
        </is>
      </c>
    </row>
    <row r="11">
      <c r="A11" s="25" t="inlineStr">
        <is>
          <t>LINEAS 15/10/25</t>
        </is>
      </c>
      <c r="B11" s="26" t="inlineStr">
        <is>
          <t>Respaldo de Lineas</t>
        </is>
      </c>
      <c r="C11" s="27" t="n">
        <v>1220</v>
      </c>
      <c r="D11" s="27" t="n">
        <v>51780</v>
      </c>
      <c r="E11" s="28" t="inlineStr">
        <is>
          <t>sí</t>
        </is>
      </c>
      <c r="F11" s="29" t="inlineStr">
        <is>
          <t>BAJO</t>
        </is>
      </c>
      <c r="G11" s="11" t="inlineStr"/>
      <c r="H11" s="26">
        <f>IF(G11="","falta el dato de AppSheet",IF(UPPER(G11)="SI","NO BORRAR: AppSheet la usa",IF(F11="REVISAR","preguntar al equipo antes",IF(F11="ALTO","quitarla YA: hoy compite por la hoja","se puede mudar al histórico"))))</f>
        <v/>
      </c>
      <c r="I11" s="30" t="inlineStr">
        <is>
          <t>Foto vieja de LINEAS TELEFONICAS.</t>
        </is>
      </c>
    </row>
    <row r="12">
      <c r="A12" s="19" t="inlineStr">
        <is>
          <t>LINEAS TELEFONICAS (08/07/2025)</t>
        </is>
      </c>
      <c r="B12" s="20" t="inlineStr">
        <is>
          <t>Respaldo de Lineas</t>
        </is>
      </c>
      <c r="C12" s="21" t="n">
        <v>974</v>
      </c>
      <c r="D12" s="21" t="n">
        <v>51840</v>
      </c>
      <c r="E12" s="22" t="inlineStr">
        <is>
          <t>sí</t>
        </is>
      </c>
      <c r="F12" s="23" t="inlineStr">
        <is>
          <t>BAJO</t>
        </is>
      </c>
      <c r="G12" s="11" t="inlineStr"/>
      <c r="H12" s="20">
        <f>IF(G12="","falta el dato de AppSheet",IF(UPPER(G12)="SI","NO BORRAR: AppSheet la usa",IF(F12="REVISAR","preguntar al equipo antes",IF(F12="ALTO","quitarla YA: hoy compite por la hoja","se puede mudar al histórico"))))</f>
        <v/>
      </c>
      <c r="I12" s="24" t="inlineStr">
        <is>
          <t>Foto vieja de LINEAS TELEFONICAS.</t>
        </is>
      </c>
    </row>
    <row r="13">
      <c r="A13" s="25" t="inlineStr">
        <is>
          <t>LINEAS TELEFONICAS 05/06/25</t>
        </is>
      </c>
      <c r="B13" s="26" t="inlineStr">
        <is>
          <t>Respaldo de Lineas</t>
        </is>
      </c>
      <c r="C13" s="27" t="n">
        <v>943</v>
      </c>
      <c r="D13" s="27" t="n">
        <v>51840</v>
      </c>
      <c r="E13" s="28" t="inlineStr">
        <is>
          <t>sí</t>
        </is>
      </c>
      <c r="F13" s="29" t="inlineStr">
        <is>
          <t>BAJO</t>
        </is>
      </c>
      <c r="G13" s="11" t="inlineStr"/>
      <c r="H13" s="26">
        <f>IF(G13="","falta el dato de AppSheet",IF(UPPER(G13)="SI","NO BORRAR: AppSheet la usa",IF(F13="REVISAR","preguntar al equipo antes",IF(F13="ALTO","quitarla YA: hoy compite por la hoja","se puede mudar al histórico"))))</f>
        <v/>
      </c>
      <c r="I13" s="30" t="inlineStr">
        <is>
          <t>Foto vieja de LINEAS TELEFONICAS.</t>
        </is>
      </c>
    </row>
    <row r="14">
      <c r="A14" s="19" t="inlineStr">
        <is>
          <t>LINEAS TELEFONICAS 21/04/25</t>
        </is>
      </c>
      <c r="B14" s="20" t="inlineStr">
        <is>
          <t>Respaldo de Lineas</t>
        </is>
      </c>
      <c r="C14" s="21" t="n">
        <v>843</v>
      </c>
      <c r="D14" s="21" t="n">
        <v>63858</v>
      </c>
      <c r="E14" s="22" t="inlineStr">
        <is>
          <t>sí</t>
        </is>
      </c>
      <c r="F14" s="23" t="inlineStr">
        <is>
          <t>BAJO</t>
        </is>
      </c>
      <c r="G14" s="11" t="inlineStr"/>
      <c r="H14" s="20">
        <f>IF(G14="","falta el dato de AppSheet",IF(UPPER(G14)="SI","NO BORRAR: AppSheet la usa",IF(F14="REVISAR","preguntar al equipo antes",IF(F14="ALTO","quitarla YA: hoy compite por la hoja","se puede mudar al histórico"))))</f>
        <v/>
      </c>
      <c r="I14" s="24" t="inlineStr">
        <is>
          <t>Foto vieja de LINEAS TELEFONICAS.</t>
        </is>
      </c>
    </row>
    <row r="15">
      <c r="A15" s="25" t="inlineStr">
        <is>
          <t>RESPALDO 2 LINEAS TELEFONICAS</t>
        </is>
      </c>
      <c r="B15" s="26" t="inlineStr">
        <is>
          <t>Respaldo de Lineas</t>
        </is>
      </c>
      <c r="C15" s="27" t="n">
        <v>809</v>
      </c>
      <c r="D15" s="27" t="n">
        <v>63858</v>
      </c>
      <c r="E15" s="28" t="inlineStr">
        <is>
          <t>sí</t>
        </is>
      </c>
      <c r="F15" s="29" t="inlineStr">
        <is>
          <t>BAJO</t>
        </is>
      </c>
      <c r="G15" s="11" t="inlineStr"/>
      <c r="H15" s="26">
        <f>IF(G15="","falta el dato de AppSheet",IF(UPPER(G15)="SI","NO BORRAR: AppSheet la usa",IF(F15="REVISAR","preguntar al equipo antes",IF(F15="ALTO","quitarla YA: hoy compite por la hoja","se puede mudar al histórico"))))</f>
        <v/>
      </c>
      <c r="I15" s="30" t="inlineStr">
        <is>
          <t>Foto vieja de LINEAS TELEFONICAS.</t>
        </is>
      </c>
    </row>
    <row r="16">
      <c r="A16" s="19" t="inlineStr">
        <is>
          <t>Respaldo de LINEAS TELEFONICAS</t>
        </is>
      </c>
      <c r="B16" s="20" t="inlineStr">
        <is>
          <t>Respaldo de Lineas</t>
        </is>
      </c>
      <c r="C16" s="21" t="n">
        <v>807</v>
      </c>
      <c r="D16" s="21" t="n">
        <v>59454</v>
      </c>
      <c r="E16" s="22" t="inlineStr">
        <is>
          <t>sí</t>
        </is>
      </c>
      <c r="F16" s="23" t="inlineStr">
        <is>
          <t>BAJO</t>
        </is>
      </c>
      <c r="G16" s="11" t="inlineStr"/>
      <c r="H16" s="20">
        <f>IF(G16="","falta el dato de AppSheet",IF(UPPER(G16)="SI","NO BORRAR: AppSheet la usa",IF(F16="REVISAR","preguntar al equipo antes",IF(F16="ALTO","quitarla YA: hoy compite por la hoja","se puede mudar al histórico"))))</f>
        <v/>
      </c>
      <c r="I16" s="24" t="inlineStr">
        <is>
          <t>Foto vieja de LINEAS TELEFONICAS.</t>
        </is>
      </c>
    </row>
    <row r="17">
      <c r="A17" s="25" t="inlineStr">
        <is>
          <t>Copia de LINEAS TELEFONICAS</t>
        </is>
      </c>
      <c r="B17" s="26" t="inlineStr">
        <is>
          <t>Respaldo de Lineas</t>
        </is>
      </c>
      <c r="C17" s="27" t="n">
        <v>1602</v>
      </c>
      <c r="D17" s="27" t="n">
        <v>61920</v>
      </c>
      <c r="E17" s="28" t="inlineStr">
        <is>
          <t>no</t>
        </is>
      </c>
      <c r="F17" s="29" t="inlineStr">
        <is>
          <t>BAJO</t>
        </is>
      </c>
      <c r="G17" s="11" t="inlineStr"/>
      <c r="H17" s="26">
        <f>IF(G17="","falta el dato de AppSheet",IF(UPPER(G17)="SI","NO BORRAR: AppSheet la usa",IF(F17="REVISAR","preguntar al equipo antes",IF(F17="ALTO","quitarla YA: hoy compite por la hoja","se puede mudar al histórico"))))</f>
        <v/>
      </c>
      <c r="I17" s="30" t="inlineStr">
        <is>
          <t>Copia no oculta de LINEAS TELEFONICAS.</t>
        </is>
      </c>
    </row>
    <row r="18">
      <c r="A18" s="19" t="inlineStr">
        <is>
          <t>Copia de HOLOGRAMAS</t>
        </is>
      </c>
      <c r="B18" s="20" t="inlineStr">
        <is>
          <t>Otro respaldo</t>
        </is>
      </c>
      <c r="C18" s="21" t="n">
        <v>117</v>
      </c>
      <c r="D18" s="21" t="n">
        <v>30000</v>
      </c>
      <c r="E18" s="22" t="inlineStr">
        <is>
          <t>sí</t>
        </is>
      </c>
      <c r="F18" s="23" t="inlineStr">
        <is>
          <t>BAJO</t>
        </is>
      </c>
      <c r="G18" s="11" t="inlineStr"/>
      <c r="H18" s="20">
        <f>IF(G18="","falta el dato de AppSheet",IF(UPPER(G18)="SI","NO BORRAR: AppSheet la usa",IF(F18="REVISAR","preguntar al equipo antes",IF(F18="ALTO","quitarla YA: hoy compite por la hoja","se puede mudar al histórico"))))</f>
        <v/>
      </c>
      <c r="I18" s="24" t="inlineStr">
        <is>
          <t>Su ultimo dato es de 29/02/2024. No comparte la firma de columnas de Hologramas.</t>
        </is>
      </c>
    </row>
    <row r="19">
      <c r="A19" s="25" t="inlineStr">
        <is>
          <t>Cambios Imei</t>
        </is>
      </c>
      <c r="B19" s="26" t="inlineStr">
        <is>
          <t>Otro respaldo</t>
        </is>
      </c>
      <c r="C19" s="27" t="n">
        <v>6</v>
      </c>
      <c r="D19" s="27" t="n">
        <v>26000</v>
      </c>
      <c r="E19" s="28" t="inlineStr">
        <is>
          <t>sí</t>
        </is>
      </c>
      <c r="F19" s="29" t="inlineStr">
        <is>
          <t>BAJO</t>
        </is>
      </c>
      <c r="G19" s="11" t="inlineStr"/>
      <c r="H19" s="26">
        <f>IF(G19="","falta el dato de AppSheet",IF(UPPER(G19)="SI","NO BORRAR: AppSheet la usa",IF(F19="REVISAR","preguntar al equipo antes",IF(F19="ALTO","quitarla YA: hoy compite por la hoja","se puede mudar al histórico"))))</f>
        <v/>
      </c>
      <c r="I19" s="30" t="inlineStr">
        <is>
          <t>6 filas. Su ultimo dato es de 01/10/2025.</t>
        </is>
      </c>
    </row>
    <row r="20">
      <c r="A20" s="13" t="inlineStr">
        <is>
          <t>DASHBOARDS</t>
        </is>
      </c>
      <c r="B20" s="14" t="inlineStr">
        <is>
          <t>Preguntar al equipo</t>
        </is>
      </c>
      <c r="C20" s="15" t="n">
        <v>8</v>
      </c>
      <c r="D20" s="15" t="n">
        <v>26000</v>
      </c>
      <c r="E20" s="16" t="inlineStr">
        <is>
          <t>no</t>
        </is>
      </c>
      <c r="F20" s="17" t="inlineStr">
        <is>
          <t>REVISAR</t>
        </is>
      </c>
      <c r="G20" s="11" t="inlineStr"/>
      <c r="H20" s="14">
        <f>IF(G20="","falta el dato de AppSheet",IF(UPPER(G20)="SI","NO BORRAR: AppSheet la usa",IF(F20="REVISAR","preguntar al equipo antes",IF(F20="ALTO","quitarla YA: hoy compite por la hoja","se puede mudar al histórico"))))</f>
        <v/>
      </c>
      <c r="I20" s="18" t="inlineStr">
        <is>
          <t>El nombre suena a algo que alguien consulta. Libera poco y nadie sabe que es. NO la tocaria sin preguntar.</t>
        </is>
      </c>
    </row>
    <row r="21">
      <c r="A21" s="13" t="inlineStr">
        <is>
          <t>CONFIGURACIONES</t>
        </is>
      </c>
      <c r="B21" s="14" t="inlineStr">
        <is>
          <t>Preguntar al equipo</t>
        </is>
      </c>
      <c r="C21" s="15" t="n">
        <v>5</v>
      </c>
      <c r="D21" s="15" t="n">
        <v>26000</v>
      </c>
      <c r="E21" s="16" t="inlineStr">
        <is>
          <t>no</t>
        </is>
      </c>
      <c r="F21" s="17" t="inlineStr">
        <is>
          <t>REVISAR</t>
        </is>
      </c>
      <c r="G21" s="11" t="inlineStr"/>
      <c r="H21" s="14">
        <f>IF(G21="","falta el dato de AppSheet",IF(UPPER(G21)="SI","NO BORRAR: AppSheet la usa",IF(F21="REVISAR","preguntar al equipo antes",IF(F21="ALTO","quitarla YA: hoy compite por la hoja","se puede mudar al histórico"))))</f>
        <v/>
      </c>
      <c r="I21" s="18" t="inlineStr">
        <is>
          <t>5 filas de configuracion de algo. Podria ser de AppSheet. NO la tocaria sin preguntar.</t>
        </is>
      </c>
    </row>
    <row r="22">
      <c r="A22" s="13" t="inlineStr">
        <is>
          <t>SERVICIOS</t>
        </is>
      </c>
      <c r="B22" s="14" t="inlineStr">
        <is>
          <t>Preguntar al equipo</t>
        </is>
      </c>
      <c r="C22" s="15" t="n">
        <v>27</v>
      </c>
      <c r="D22" s="15" t="n">
        <v>27888</v>
      </c>
      <c r="E22" s="16" t="inlineStr">
        <is>
          <t>no</t>
        </is>
      </c>
      <c r="F22" s="17" t="inlineStr">
        <is>
          <t>REVISAR</t>
        </is>
      </c>
      <c r="G22" s="11" t="inlineStr"/>
      <c r="H22" s="14">
        <f>IF(G22="","falta el dato de AppSheet",IF(UPPER(G22)="SI","NO BORRAR: AppSheet la usa",IF(F22="REVISAR","preguntar al equipo antes",IF(F22="ALTO","quitarla YA: hoy compite por la hoja","se puede mudar al histórico"))))</f>
        <v/>
      </c>
      <c r="I22" s="18" t="inlineStr">
        <is>
          <t>Es el modulo que Ayrton marco como eliminado. Confirmar que la baja fue definitiva.</t>
        </is>
      </c>
    </row>
    <row r="23">
      <c r="A23" s="13" t="inlineStr">
        <is>
          <t>COLABORADORES 2</t>
        </is>
      </c>
      <c r="B23" s="14" t="inlineStr">
        <is>
          <t>Preguntar al equipo</t>
        </is>
      </c>
      <c r="C23" s="15" t="n">
        <v>15</v>
      </c>
      <c r="D23" s="15" t="n">
        <v>26000</v>
      </c>
      <c r="E23" s="16" t="inlineStr">
        <is>
          <t>no</t>
        </is>
      </c>
      <c r="F23" s="17" t="inlineStr">
        <is>
          <t>REVISAR</t>
        </is>
      </c>
      <c r="G23" s="11" t="inlineStr"/>
      <c r="H23" s="14">
        <f>IF(G23="","falta el dato de AppSheet",IF(UPPER(G23)="SI","NO BORRAR: AppSheet la usa",IF(F23="REVISAR","preguntar al equipo antes",IF(F23="ALTO","quitarla YA: hoy compite por la hoja","se puede mudar al histórico"))))</f>
        <v/>
      </c>
      <c r="I23" s="18" t="inlineStr">
        <is>
          <t>15 filas, junto a un catalogo COLABORADORES de 3,627. Un apendice de alguien.</t>
        </is>
      </c>
    </row>
    <row r="24">
      <c r="A24" s="13" t="inlineStr">
        <is>
          <t>Hoja 53</t>
        </is>
      </c>
      <c r="B24" s="14" t="inlineStr">
        <is>
          <t>Preguntar al equipo</t>
        </is>
      </c>
      <c r="C24" s="15" t="n">
        <v>207</v>
      </c>
      <c r="D24" s="15" t="n">
        <v>26000</v>
      </c>
      <c r="E24" s="16" t="inlineStr">
        <is>
          <t>no</t>
        </is>
      </c>
      <c r="F24" s="17" t="inlineStr">
        <is>
          <t>REVISAR</t>
        </is>
      </c>
      <c r="G24" s="11" t="inlineStr"/>
      <c r="H24" s="14">
        <f>IF(G24="","falta el dato de AppSheet",IF(UPPER(G24)="SI","NO BORRAR: AppSheet la usa",IF(F24="REVISAR","preguntar al equipo antes",IF(F24="ALTO","quitarla YA: hoy compite por la hoja","se puede mudar al histórico"))))</f>
        <v/>
      </c>
      <c r="I24" s="18" t="inlineStr">
        <is>
          <t>Nombre de descarte, pero tiene 207 filas CON DATOS. Alguien puso algo ahi.</t>
        </is>
      </c>
    </row>
    <row r="25">
      <c r="A25" s="31" t="inlineStr">
        <is>
          <t>TOTAL</t>
        </is>
      </c>
      <c r="B25" s="32" t="n"/>
      <c r="C25" s="33">
        <f>SUM(C6:C24)</f>
        <v/>
      </c>
      <c r="D25" s="33">
        <f>SUM(D6:D24)</f>
        <v/>
      </c>
      <c r="E25" s="32" t="n"/>
      <c r="F25" s="32" t="n"/>
      <c r="G25" s="32" t="n"/>
      <c r="H25" s="32" t="n"/>
      <c r="I25" s="32" t="n"/>
    </row>
  </sheetData>
  <autoFilter ref="A5:I24"/>
  <dataValidations count="1">
    <dataValidation sqref="G6:G24" showDropDown="0" showInputMessage="0" showErrorMessage="0" allowBlank="1" promptTitle="Dato de AppSheet" prompt="¿AppSheet usa esta pestaña como tabla? (Data &gt; Tables en su editor)" type="list">
      <formula1>"SI,NO,NO SÉ"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4" t="inlineStr">
        <is>
          <t>Por qué una pestaña sin nombre en el código puede seguir estando en uso</t>
        </is>
      </c>
    </row>
    <row r="3">
      <c r="A3" s="35" t="inlineStr"/>
    </row>
    <row r="4">
      <c r="A4" s="35" t="inlineStr">
        <is>
          <t>SheetUtils.getSheetByColumns (src/utils/SheetUtils.gs:268-324) no busca la hoja por su nombre:</t>
        </is>
      </c>
    </row>
    <row r="5">
      <c r="A5" s="35" t="inlineStr">
        <is>
          <t>la busca por QUÉ COLUMNAS TIENE. Y cuando varias coinciden, desempata quedándose con la que</t>
        </is>
      </c>
    </row>
    <row r="6">
      <c r="A6" s="35" t="inlineStr">
        <is>
          <t>tenga MÁS FILAS.</t>
        </is>
      </c>
    </row>
    <row r="7">
      <c r="A7" s="35" t="inlineStr"/>
    </row>
    <row r="8">
      <c r="A8" s="35" t="inlineStr">
        <is>
          <t>Cuatro servicios eligen su hoja así — Verificaciones, Sensores, Hologramas, Inspecciones — más</t>
        </is>
      </c>
    </row>
    <row r="9">
      <c r="A9" s="35" t="inlineStr">
        <is>
          <t>PermisosService, que es la autenticación.</t>
        </is>
      </c>
    </row>
    <row r="10">
      <c r="A10" s="35" t="inlineStr"/>
    </row>
    <row r="11">
      <c r="A11" s="36" t="inlineStr">
        <is>
          <t>Consecuencia: una pestaña de respaldo con la misma forma no es inerte. Compite.</t>
        </is>
      </c>
    </row>
    <row r="12">
      <c r="A12" s="35" t="inlineStr"/>
    </row>
    <row r="13">
      <c r="A13" s="36" t="inlineStr">
        <is>
          <t>MEDIDO EN PRODUCCIÓN EL 29/09/2026:</t>
        </is>
      </c>
    </row>
    <row r="14">
      <c r="A14" s="35" t="inlineStr"/>
    </row>
    <row r="15">
      <c r="A15" s="35" t="inlineStr">
        <is>
          <t xml:space="preserve">   SensoresService       busca  ID_SENSOR + FOLIO + SERIE SENSOR</t>
        </is>
      </c>
    </row>
    <row r="16">
      <c r="A16" s="35" t="inlineStr">
        <is>
          <t xml:space="preserve">      208 filas   INSTALACION DE SENSORES            &lt;- la usa hoy</t>
        </is>
      </c>
    </row>
    <row r="17">
      <c r="A17" s="35" t="inlineStr">
        <is>
          <t xml:space="preserve">      207 filas   Copia de INSTALACION DE SENSORES   &lt;- a UNA fila de ganarle</t>
        </is>
      </c>
    </row>
    <row r="18">
      <c r="A18" s="35" t="inlineStr"/>
    </row>
    <row r="19">
      <c r="A19" s="35" t="inlineStr">
        <is>
          <t xml:space="preserve">   HologramasService     busca  ID_HOLOGRAMA + CALCOMANIA EOX + ESTATUS EOX</t>
        </is>
      </c>
    </row>
    <row r="20">
      <c r="A20" s="35" t="inlineStr">
        <is>
          <t xml:space="preserve">      255 filas   HOLOGRAMAS                         &lt;- la usa hoy</t>
        </is>
      </c>
    </row>
    <row r="21">
      <c r="A21" s="35" t="inlineStr">
        <is>
          <t xml:space="preserve">      151 filas   HOLOGRAMAS (24/04/25)</t>
        </is>
      </c>
    </row>
    <row r="22">
      <c r="A22" s="35" t="inlineStr"/>
    </row>
    <row r="23">
      <c r="A23" s="35" t="inlineStr">
        <is>
          <t>Con dos filas más en la copia, Sensores se cambia de hoja sin avisar y empieza a leer y</t>
        </is>
      </c>
    </row>
    <row r="24">
      <c r="A24" s="35" t="inlineStr">
        <is>
          <t>escribir en el respaldo.</t>
        </is>
      </c>
    </row>
    <row r="25">
      <c r="A25" s="35" t="inlineStr"/>
    </row>
    <row r="26">
      <c r="A26" s="36" t="inlineStr">
        <is>
          <t>NO es una mecha encendida: las fórmulas de la copia son XLOOKUP de rango fijo, no se expanden,</t>
        </is>
      </c>
    </row>
    <row r="27">
      <c r="A27" s="35" t="inlineStr">
        <is>
          <t>y la hoja viva crece con cada instalación, así que la ventaja aumenta con el uso. Es una mina:</t>
        </is>
      </c>
    </row>
    <row r="28">
      <c r="A28" s="35" t="inlineStr">
        <is>
          <t>alguien tiene que pisarla (borrar filas de la viva, o arrastrar las fórmulas de la copia).</t>
        </is>
      </c>
    </row>
    <row r="29">
      <c r="A29" s="35" t="inlineStr"/>
    </row>
    <row r="30">
      <c r="A30" s="36" t="inlineStr">
        <is>
          <t>Quitar una competidora siempre deja la elección MÁS determinista, nunca menos. Por eso esas</t>
        </is>
      </c>
    </row>
    <row r="31">
      <c r="A31" s="35" t="inlineStr">
        <is>
          <t>dos son las que más conviene quitar, no las que menos.</t>
        </is>
      </c>
    </row>
    <row r="32">
      <c r="A32" s="35" t="inlineStr"/>
    </row>
    <row r="33">
      <c r="A33" s="35" t="inlineStr">
        <is>
          <t>Para revisarlo cuando sea: correr pipelineRevisarFirmas desde el editor de Apps Script.</t>
        </is>
      </c>
    </row>
    <row r="34">
      <c r="A34" s="35" t="inlineStr">
        <is>
          <t>Avisa cuando el margen baje de 50 filas.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2026-09-29T22:26:10Z</dcterms:created>
  <dcterms:modified xsi:type="dcterms:W3CDTF">2026-09-29T22:26:10Z</dcterms:modified>
</cp:coreProperties>
</file>